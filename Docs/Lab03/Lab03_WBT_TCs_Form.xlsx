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Facultate\VVSS\Proiect_VVSS\Docs\Lab03\"/>
    </mc:Choice>
  </mc:AlternateContent>
  <xr:revisionPtr revIDLastSave="0" documentId="13_ncr:1_{FBCD8B30-F49B-4217-9F15-9E84C3141AFF}" xr6:coauthVersionLast="47" xr6:coauthVersionMax="47" xr10:uidLastSave="{00000000-0000-0000-0000-000000000000}"/>
  <bookViews>
    <workbookView xWindow="-120" yWindow="-120" windowWidth="29040" windowHeight="15720" tabRatio="500" activeTab="3" xr2:uid="{00000000-000D-0000-FFFF-FFFF00000000}"/>
  </bookViews>
  <sheets>
    <sheet name="Statement" sheetId="1" r:id="rId1"/>
    <sheet name="F02.CFG-Paths" sheetId="2" r:id="rId2"/>
    <sheet name="F02.TCs" sheetId="3" r:id="rId3"/>
    <sheet name="WBT-TCs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20" i="4" l="1"/>
  <c r="I20" i="4"/>
  <c r="B20" i="4"/>
</calcChain>
</file>

<file path=xl/sharedStrings.xml><?xml version="1.0" encoding="utf-8"?>
<sst xmlns="http://schemas.openxmlformats.org/spreadsheetml/2006/main" count="262" uniqueCount="131">
  <si>
    <t>VVSS, Info Romana, 2025-2026</t>
  </si>
  <si>
    <t>Criteriile de acoperire la nivelul codului sursa sunt exemplificate pentru problema de mai jos. Studentii vor aplica aceeasi modalitate de lucru pentru proiectul primit in Lab01.</t>
  </si>
  <si>
    <t>[Unit WBT]</t>
  </si>
  <si>
    <t xml:space="preserve">Lab03. White-box Testing. Code Coverage </t>
  </si>
  <si>
    <t>Proiectaţi şi implementaţi o aplicaţie Java pentru rezolvarea problemei propuse. Se va evidenţia o arhitectură stratificată.</t>
  </si>
  <si>
    <t>Echipa</t>
  </si>
  <si>
    <t>Informaţiile vor fi preluate din fişiere text.</t>
  </si>
  <si>
    <t>Numele și prenumele</t>
  </si>
  <si>
    <t>Grupa</t>
  </si>
  <si>
    <t>Student 1:</t>
  </si>
  <si>
    <t>Horodniceanu Andrei</t>
  </si>
  <si>
    <t>Student 2:</t>
  </si>
  <si>
    <t>Irimia Cosmin</t>
  </si>
  <si>
    <t>1. Sumarizarea unei comenzi</t>
  </si>
  <si>
    <t>Student 3:</t>
  </si>
  <si>
    <t>Angajații unui magazin de băuturi doresc calcularea totalului unei comenzi pe baza produselor existente în ea și a cantităților respective</t>
  </si>
  <si>
    <t>F02. Calcularea totalului unei comenzi pe baza itemilor ei</t>
  </si>
  <si>
    <t>F02. Calcularea totalului unei comenzi</t>
  </si>
  <si>
    <t xml:space="preserve">F02. Covered source code </t>
  </si>
  <si>
    <t>F02. Control Flow Graph (CFG)</t>
  </si>
  <si>
    <t>F02. Cyclomatic Complexity (CC)</t>
  </si>
  <si>
    <t>Line No.</t>
  </si>
  <si>
    <t>Source code</t>
  </si>
  <si>
    <t>Se va insera CFG asociat codului sursa testat (poza, diagrama, etc.).</t>
  </si>
  <si>
    <t>CC1 = No. of regions =</t>
  </si>
  <si>
    <t>Req02_L01</t>
  </si>
  <si>
    <t>…</t>
  </si>
  <si>
    <t>https://mermaid.ai/live/edit#pako:eNpVkt1umzAUx1_lyJcbjYDYJLGWSWvSj6RptYteFXJhgQlowWaOUZuRSH2PaXuePUefZOajicsVR_6d3_8cQ41imXBEUbqVz3HGlIbHeSTAPN_CmSzKSvNHqdl2DRcXX-Gyxj6FRQoSplMQ1XZ77ODL5vigVcUPMAvxkILiulIC3LUNpGy7M8Q8xITCripgegLmbcBVjQMKqVScxRnIwYbrhebFro-5ai28KPX-ANchmZxyjGxtM0Jq6LmbEI8olCYrzUXyXcmkinUP37SptzUet8SHnW6tnRYhNlk6U_IZ3l7_5mam_O31z9om--WWNfEo_KyY0LnewxezYi9cWsK7kPiWMG5ppvlZurSlq5qYOy3NsrZwZQnvQ4ItoUH__T7LVrbsISRBd_2fp53zE5wG6Bseus8Ria6cteXTh18C-Ev-fo_X3XlXLOzizi7uuwI5aKPyBNFmdAcVXBWsKVHdYBHSGS94hKh5TZj6EaFIHE1PycSTlMV7m5LVJkO0XcpBVZmY6ec52yh2RrhIuJrJSmhEPc9vHYjW6AVRHIwHgT_CE2_i-R52sYP2iPqTAQk8d0zIaBj4eOiTo4N-tanuYGxo8wTuMBg1Pcf_-cv9Hw</t>
  </si>
  <si>
    <t>CC2 = Edges - Nodes + 2 =</t>
  </si>
  <si>
    <t>19 – 15 + 2 = 6</t>
  </si>
  <si>
    <t>Req02_L02</t>
  </si>
  <si>
    <t>&lt;Req02 CFG &gt;</t>
  </si>
  <si>
    <t>CC3 = No. of Conditions + 1 =</t>
  </si>
  <si>
    <t>Predicate+1</t>
  </si>
  <si>
    <t>5 + 1 = 6</t>
  </si>
  <si>
    <t>Req02_L03</t>
  </si>
  <si>
    <t>...</t>
  </si>
  <si>
    <t>..</t>
  </si>
  <si>
    <t>F02. Individual Paths</t>
  </si>
  <si>
    <t>Path No.</t>
  </si>
  <si>
    <t>Path</t>
  </si>
  <si>
    <t>F02_P01</t>
  </si>
  <si>
    <t>42(T) – 43</t>
  </si>
  <si>
    <t>F02_P02</t>
  </si>
  <si>
    <t>42(F) – 45 – 46(empty) – 59</t>
  </si>
  <si>
    <t>F02_P03</t>
  </si>
  <si>
    <t>42(F) – 45 – 46(not emtpy) – 47 – 48(T) – 49</t>
  </si>
  <si>
    <t>F02_P04</t>
  </si>
  <si>
    <t>42(F) – 45 – 46(not emtpy) – 47 – 48(F) – 51(T) - 52</t>
  </si>
  <si>
    <t>F02_P05</t>
  </si>
  <si>
    <t>42(F) – 45 – 46(not emtpy) – 47 – 48(F) – 51(F) – 53(T) – 54</t>
  </si>
  <si>
    <t>F02_P06</t>
  </si>
  <si>
    <t>42(F) – 45 – 46(not emtpy) – 47 – 48(F) – 51(F) – 53(F) – 56 – 46(empty) – 59</t>
  </si>
  <si>
    <t>TC No.</t>
  </si>
  <si>
    <t>Input</t>
  </si>
  <si>
    <t>Output</t>
  </si>
  <si>
    <t>Coverage</t>
  </si>
  <si>
    <t>Statement (sc)</t>
  </si>
  <si>
    <t>Condition/ decision (dc, cc, dcc, mcc)</t>
  </si>
  <si>
    <t>Path (apc)</t>
  </si>
  <si>
    <t>Loop (lc)</t>
  </si>
  <si>
    <t>o: Order</t>
  </si>
  <si>
    <t>total: double</t>
  </si>
  <si>
    <t>O = null</t>
  </si>
  <si>
    <t>o.getItems().empty()</t>
  </si>
  <si>
    <t>P = null</t>
  </si>
  <si>
    <t>Quantity &lt;= 0</t>
  </si>
  <si>
    <t>Preț &lt;= 0</t>
  </si>
  <si>
    <t>n-1</t>
  </si>
  <si>
    <t>n</t>
  </si>
  <si>
    <t>m&lt;n</t>
  </si>
  <si>
    <t>T</t>
  </si>
  <si>
    <t>F</t>
  </si>
  <si>
    <t>F02_TC01</t>
  </si>
  <si>
    <t>null</t>
  </si>
  <si>
    <t>0€</t>
  </si>
  <si>
    <t>42, 43</t>
  </si>
  <si>
    <t>X</t>
  </si>
  <si>
    <t>[]</t>
  </si>
  <si>
    <t>42, 45, 46, 59</t>
  </si>
  <si>
    <t>[(NonExistent, 1)]</t>
  </si>
  <si>
    <t>err „produs inexistent”</t>
  </si>
  <si>
    <t>42, 45, 46, 47, 48, 49</t>
  </si>
  <si>
    <t>[(Lapte(10€), -1)]</t>
  </si>
  <si>
    <t>err „cantitate”</t>
  </si>
  <si>
    <t>42, 45, 46, 47, 48, 51, 52</t>
  </si>
  <si>
    <t>[(Cafea(-10€), 2)]</t>
  </si>
  <si>
    <t>err „preț”</t>
  </si>
  <si>
    <t>42, 45, 46, 47, 48, 51,  53, 54</t>
  </si>
  <si>
    <t>[(Apa(12€), 1), (Lapte(14€), 2)]</t>
  </si>
  <si>
    <t>40€</t>
  </si>
  <si>
    <t>42, 45, 46, 47, 48, 51,  53, 56, 59</t>
  </si>
  <si>
    <t>[(Miere(2€), 2)]</t>
  </si>
  <si>
    <t>4€</t>
  </si>
  <si>
    <t>[(Apa(2€), 1) (Portocale(0€), 1)]</t>
  </si>
  <si>
    <t>42, 45, 46, 47, 48, 51,  53, 56, 54</t>
  </si>
  <si>
    <t>WBT Implemented Tcs</t>
  </si>
  <si>
    <t>Final        TC No.</t>
  </si>
  <si>
    <t>Req. ID</t>
  </si>
  <si>
    <t>TC No</t>
  </si>
  <si>
    <t>input data</t>
  </si>
  <si>
    <t>output data</t>
  </si>
  <si>
    <t>order</t>
  </si>
  <si>
    <t>expected</t>
  </si>
  <si>
    <t>actual result</t>
  </si>
  <si>
    <t>F02</t>
  </si>
  <si>
    <t>F02_TC02</t>
  </si>
  <si>
    <t>F02_TC03</t>
  </si>
  <si>
    <t>F02_TC04</t>
  </si>
  <si>
    <t>F02_TC05</t>
  </si>
  <si>
    <t>F02_TC06</t>
  </si>
  <si>
    <t>F02_TC07</t>
  </si>
  <si>
    <t>F02_TC08</t>
  </si>
  <si>
    <t>F02_TC09</t>
  </si>
  <si>
    <t>Statistics</t>
  </si>
  <si>
    <t>Testare</t>
  </si>
  <si>
    <t>Depanare</t>
  </si>
  <si>
    <t>Re-testare</t>
  </si>
  <si>
    <t>Testare de regresie</t>
  </si>
  <si>
    <t>#TCs run</t>
  </si>
  <si>
    <r>
      <rPr>
        <b/>
        <sz val="11"/>
        <color theme="1"/>
        <rFont val="Calibri"/>
        <family val="2"/>
        <charset val="1"/>
      </rPr>
      <t xml:space="preserve">#TCs </t>
    </r>
    <r>
      <rPr>
        <b/>
        <sz val="11"/>
        <color rgb="FF008000"/>
        <rFont val="Calibri"/>
        <family val="2"/>
        <charset val="1"/>
      </rPr>
      <t>passed</t>
    </r>
  </si>
  <si>
    <r>
      <rPr>
        <b/>
        <sz val="11"/>
        <color theme="1"/>
        <rFont val="Calibri"/>
        <family val="2"/>
        <charset val="1"/>
      </rPr>
      <t xml:space="preserve">#TCs </t>
    </r>
    <r>
      <rPr>
        <b/>
        <sz val="11"/>
        <color rgb="FFFF0000"/>
        <rFont val="Calibri"/>
        <family val="2"/>
        <charset val="1"/>
      </rPr>
      <t>falied</t>
    </r>
  </si>
  <si>
    <r>
      <rPr>
        <b/>
        <sz val="11"/>
        <color theme="1"/>
        <rFont val="Calibri"/>
        <family val="2"/>
        <charset val="1"/>
      </rPr>
      <t>Coverage (%)</t>
    </r>
    <r>
      <rPr>
        <b/>
        <i/>
        <sz val="8"/>
        <color rgb="FF000000"/>
        <rFont val="Calibri"/>
        <family val="2"/>
        <charset val="1"/>
      </rPr>
      <t>[se va prelua valoarea indicata in raportul de acoperire pentru metoda testata]</t>
    </r>
  </si>
  <si>
    <r>
      <rPr>
        <b/>
        <sz val="11"/>
        <color theme="1"/>
        <rFont val="Calibri"/>
        <family val="2"/>
        <charset val="1"/>
      </rPr>
      <t xml:space="preserve">#Bugs </t>
    </r>
    <r>
      <rPr>
        <b/>
        <i/>
        <sz val="8"/>
        <color rgb="FF000000"/>
        <rFont val="Calibri"/>
        <family val="2"/>
        <charset val="1"/>
      </rPr>
      <t>[se va indica numarul de bug-uri identificate prin depanare, la nivelul metodei testate]</t>
    </r>
  </si>
  <si>
    <r>
      <rPr>
        <b/>
        <sz val="11"/>
        <color theme="1"/>
        <rFont val="Calibri"/>
        <family val="2"/>
        <charset val="1"/>
      </rPr>
      <t xml:space="preserve">#Bugs Fixed </t>
    </r>
    <r>
      <rPr>
        <b/>
        <i/>
        <sz val="8"/>
        <color rgb="FF000000"/>
        <rFont val="Calibri"/>
        <family val="2"/>
        <charset val="1"/>
      </rPr>
      <t>[se va completa cu 'da' dupa depanare]</t>
    </r>
  </si>
  <si>
    <r>
      <rPr>
        <b/>
        <sz val="11"/>
        <color rgb="FF000000"/>
        <rFont val="Calibri"/>
        <family val="2"/>
        <charset val="1"/>
      </rPr>
      <t xml:space="preserve">Re-testare </t>
    </r>
    <r>
      <rPr>
        <i/>
        <sz val="8"/>
        <color rgb="FF000000"/>
        <rFont val="Calibri"/>
        <family val="2"/>
        <charset val="1"/>
      </rPr>
      <t>[se va completa cu 'da' dupa retestare]</t>
    </r>
  </si>
  <si>
    <r>
      <rPr>
        <b/>
        <sz val="11"/>
        <color theme="1"/>
        <rFont val="Calibri"/>
        <family val="2"/>
        <charset val="1"/>
      </rPr>
      <t xml:space="preserve">#TCs  </t>
    </r>
    <r>
      <rPr>
        <b/>
        <sz val="11"/>
        <color rgb="FFFF0000"/>
        <rFont val="Calibri"/>
        <family val="2"/>
        <charset val="1"/>
      </rPr>
      <t>failed</t>
    </r>
  </si>
  <si>
    <r>
      <rPr>
        <b/>
        <sz val="11"/>
        <color theme="1"/>
        <rFont val="Calibri"/>
        <family val="2"/>
        <charset val="1"/>
      </rPr>
      <t xml:space="preserve">Coverage (%) </t>
    </r>
    <r>
      <rPr>
        <b/>
        <i/>
        <sz val="8"/>
        <color rgb="FF000000"/>
        <rFont val="Calibri"/>
        <family val="2"/>
        <charset val="1"/>
      </rPr>
      <t>[se va prelua valoarea indicata in raportul de acoperire pentru metoda testata]</t>
    </r>
  </si>
  <si>
    <r>
      <rPr>
        <b/>
        <sz val="11"/>
        <color theme="1"/>
        <rFont val="Calibri"/>
        <family val="2"/>
        <charset val="1"/>
      </rPr>
      <t xml:space="preserve">Testare de regresie </t>
    </r>
    <r>
      <rPr>
        <b/>
        <i/>
        <sz val="8"/>
        <color rgb="FF000000"/>
        <rFont val="Calibri"/>
        <family val="2"/>
        <charset val="1"/>
      </rPr>
      <t>[se va completa cu 'da' dupa testarea de regresie]</t>
    </r>
  </si>
  <si>
    <r>
      <rPr>
        <b/>
        <sz val="11"/>
        <color theme="1"/>
        <rFont val="Calibri"/>
        <family val="2"/>
        <charset val="1"/>
      </rPr>
      <t xml:space="preserve">#TCs </t>
    </r>
    <r>
      <rPr>
        <b/>
        <sz val="11"/>
        <color rgb="FF008000"/>
        <rFont val="Calibri"/>
        <family val="2"/>
        <charset val="1"/>
      </rPr>
      <t>passed</t>
    </r>
    <r>
      <rPr>
        <b/>
        <sz val="11"/>
        <color rgb="FF000000"/>
        <rFont val="Calibri"/>
        <family val="2"/>
        <charset val="1"/>
      </rPr>
      <t xml:space="preserve"> </t>
    </r>
    <r>
      <rPr>
        <b/>
        <i/>
        <sz val="8"/>
        <color rgb="FF000000"/>
        <rFont val="Calibri"/>
        <family val="2"/>
        <charset val="1"/>
      </rPr>
      <t>[de executat in testarea de regresie]</t>
    </r>
  </si>
  <si>
    <t>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</si>
</sst>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[$€-1];[Red]\-#,##0\ [$€-1]"/>
  </numFmts>
  <fonts count="16" x14ac:knownFonts="1">
    <font>
      <sz val="11"/>
      <color theme="1"/>
      <name val="Calibri"/>
      <family val="2"/>
      <charset val="1"/>
    </font>
    <font>
      <i/>
      <sz val="9"/>
      <color rgb="FFC00000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0000"/>
      <name val="Calibri"/>
      <family val="2"/>
      <charset val="1"/>
    </font>
    <font>
      <b/>
      <sz val="11"/>
      <color rgb="FF0070C0"/>
      <name val="Calibri"/>
      <family val="2"/>
      <charset val="1"/>
    </font>
    <font>
      <sz val="11"/>
      <color rgb="FF000000"/>
      <name val="Calibri"/>
      <family val="2"/>
      <charset val="1"/>
    </font>
    <font>
      <b/>
      <i/>
      <sz val="9"/>
      <color rgb="FFFF0000"/>
      <name val="Calibri"/>
      <family val="2"/>
      <charset val="1"/>
    </font>
    <font>
      <b/>
      <sz val="12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sz val="11"/>
      <color rgb="FFFF0000"/>
      <name val="Calibri"/>
      <family val="2"/>
      <charset val="1"/>
    </font>
    <font>
      <b/>
      <sz val="11"/>
      <color rgb="FF008000"/>
      <name val="Calibri"/>
      <family val="2"/>
      <charset val="1"/>
    </font>
    <font>
      <b/>
      <i/>
      <sz val="8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i/>
      <sz val="8"/>
      <color rgb="FF000000"/>
      <name val="Calibri"/>
      <family val="2"/>
      <charset val="1"/>
    </font>
    <font>
      <i/>
      <sz val="11"/>
      <color theme="1"/>
      <name val="Calibri"/>
      <family val="2"/>
      <charset val="1"/>
    </font>
    <font>
      <i/>
      <sz val="11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theme="3" tint="0.79989013336588644"/>
        <bgColor rgb="FFDBEEF4"/>
      </patternFill>
    </fill>
    <fill>
      <patternFill patternType="solid">
        <fgColor theme="0" tint="-4.9989318521683403E-2"/>
        <bgColor rgb="FFEAF1DD"/>
      </patternFill>
    </fill>
    <fill>
      <patternFill patternType="solid">
        <fgColor theme="9" tint="0.79989013336588644"/>
        <bgColor rgb="FFF2F2F2"/>
      </patternFill>
    </fill>
    <fill>
      <patternFill patternType="solid">
        <fgColor theme="8" tint="0.79989013336588644"/>
        <bgColor rgb="FFEAF1DD"/>
      </patternFill>
    </fill>
    <fill>
      <patternFill patternType="solid">
        <fgColor theme="5" tint="0.79989013336588644"/>
        <bgColor rgb="FFFDEADA"/>
      </patternFill>
    </fill>
    <fill>
      <patternFill patternType="solid">
        <fgColor rgb="FFEAF1DD"/>
        <bgColor rgb="FFF2F2F2"/>
      </patternFill>
    </fill>
    <fill>
      <patternFill patternType="solid">
        <fgColor theme="7" tint="0.59987182226020086"/>
        <bgColor rgb="FFE6B9B8"/>
      </patternFill>
    </fill>
    <fill>
      <patternFill patternType="solid">
        <fgColor theme="3" tint="0.59987182226020086"/>
        <bgColor rgb="FF9999FF"/>
      </patternFill>
    </fill>
    <fill>
      <patternFill patternType="solid">
        <fgColor theme="6" tint="0.59987182226020086"/>
        <bgColor rgb="FFEAF1DD"/>
      </patternFill>
    </fill>
    <fill>
      <patternFill patternType="solid">
        <fgColor rgb="FF99FFCC"/>
        <bgColor rgb="FFC6D9F1"/>
      </patternFill>
    </fill>
    <fill>
      <patternFill patternType="solid">
        <fgColor rgb="FFFFFF99"/>
        <bgColor rgb="FFFDEADA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/>
      <bottom style="double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7" fillId="6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left" vertical="center"/>
    </xf>
    <xf numFmtId="0" fontId="2" fillId="3" borderId="1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1" fillId="0" borderId="0" xfId="0" applyFont="1"/>
    <xf numFmtId="0" fontId="3" fillId="0" borderId="0" xfId="0" applyFont="1"/>
    <xf numFmtId="0" fontId="2" fillId="0" borderId="0" xfId="0" applyFont="1"/>
    <xf numFmtId="0" fontId="4" fillId="0" borderId="2" xfId="0" applyFont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5" fillId="0" borderId="0" xfId="0" applyFont="1"/>
    <xf numFmtId="0" fontId="2" fillId="2" borderId="0" xfId="0" applyFont="1" applyFill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0" fillId="0" borderId="1" xfId="0" applyBorder="1" applyAlignment="1">
      <alignment horizontal="right"/>
    </xf>
    <xf numFmtId="0" fontId="0" fillId="0" borderId="0" xfId="0" applyAlignment="1">
      <alignment horizontal="center"/>
    </xf>
    <xf numFmtId="0" fontId="6" fillId="0" borderId="0" xfId="0" applyFont="1"/>
    <xf numFmtId="0" fontId="0" fillId="0" borderId="0" xfId="0" applyAlignment="1">
      <alignment vertical="center"/>
    </xf>
    <xf numFmtId="0" fontId="7" fillId="5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0" xfId="0" applyFont="1"/>
    <xf numFmtId="0" fontId="0" fillId="12" borderId="1" xfId="0" applyFill="1" applyBorder="1"/>
    <xf numFmtId="0" fontId="0" fillId="12" borderId="21" xfId="0" applyFill="1" applyBorder="1"/>
    <xf numFmtId="0" fontId="14" fillId="12" borderId="17" xfId="0" applyFont="1" applyFill="1" applyBorder="1"/>
    <xf numFmtId="0" fontId="15" fillId="12" borderId="20" xfId="0" applyFont="1" applyFill="1" applyBorder="1"/>
    <xf numFmtId="0" fontId="0" fillId="12" borderId="3" xfId="0" applyFill="1" applyBorder="1"/>
    <xf numFmtId="0" fontId="0" fillId="11" borderId="21" xfId="0" applyFill="1" applyBorder="1"/>
    <xf numFmtId="0" fontId="14" fillId="12" borderId="20" xfId="0" applyFont="1" applyFill="1" applyBorder="1" applyAlignment="1">
      <alignment horizontal="center"/>
    </xf>
    <xf numFmtId="0" fontId="0" fillId="12" borderId="22" xfId="0" applyFill="1" applyBorder="1"/>
    <xf numFmtId="0" fontId="7" fillId="7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2" fillId="8" borderId="1" xfId="0" applyFont="1" applyFill="1" applyBorder="1" applyAlignment="1">
      <alignment horizontal="center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9" borderId="7" xfId="0" applyFont="1" applyFill="1" applyBorder="1" applyAlignment="1">
      <alignment horizontal="center" vertical="center"/>
    </xf>
    <xf numFmtId="0" fontId="2" fillId="8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10" borderId="12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11" borderId="15" xfId="0" applyFont="1" applyFill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11" borderId="19" xfId="0" applyFont="1" applyFill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164" fontId="8" fillId="0" borderId="1" xfId="0" applyNumberFormat="1" applyFont="1" applyBorder="1" applyAlignment="1">
      <alignment horizontal="left" vertical="center" wrapText="1"/>
    </xf>
    <xf numFmtId="9" fontId="0" fillId="11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CC1DA"/>
      <rgbColor rgb="FF808080"/>
      <rgbColor rgb="FF9999FF"/>
      <rgbColor rgb="FF993366"/>
      <rgbColor rgb="FFEAF1DD"/>
      <rgbColor rgb="FFDBEEF4"/>
      <rgbColor rgb="FF660066"/>
      <rgbColor rgb="FFFF8080"/>
      <rgbColor rgb="FF0070C0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99FFCC"/>
      <rgbColor rgb="FFD7E4BD"/>
      <rgbColor rgb="FFFFFF99"/>
      <rgbColor rgb="FF8EB4E3"/>
      <rgbColor rgb="FFF2DCDB"/>
      <rgbColor rgb="FFFDEADA"/>
      <rgbColor rgb="FFE6B9B8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666720</xdr:colOff>
      <xdr:row>6</xdr:row>
      <xdr:rowOff>157680</xdr:rowOff>
    </xdr:from>
    <xdr:to>
      <xdr:col>7</xdr:col>
      <xdr:colOff>521280</xdr:colOff>
      <xdr:row>19</xdr:row>
      <xdr:rowOff>149400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66720" y="1243440"/>
          <a:ext cx="4744080" cy="2344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643680</xdr:colOff>
      <xdr:row>9</xdr:row>
      <xdr:rowOff>6840</xdr:rowOff>
    </xdr:from>
    <xdr:to>
      <xdr:col>15</xdr:col>
      <xdr:colOff>216360</xdr:colOff>
      <xdr:row>31</xdr:row>
      <xdr:rowOff>148680</xdr:rowOff>
    </xdr:to>
    <xdr:pic>
      <xdr:nvPicPr>
        <xdr:cNvPr id="3" name="Picture 4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5533200" y="1635480"/>
          <a:ext cx="5059080" cy="41234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mermaid.ai/live/ed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6B9B8"/>
  </sheetPr>
  <dimension ref="B1:P20"/>
  <sheetViews>
    <sheetView zoomScale="120" zoomScaleNormal="120" workbookViewId="0">
      <selection activeCell="F19" sqref="F19"/>
    </sheetView>
  </sheetViews>
  <sheetFormatPr defaultColWidth="8.85546875" defaultRowHeight="14.25" customHeight="1" x14ac:dyDescent="0.25"/>
  <cols>
    <col min="15" max="15" width="19.5703125" customWidth="1"/>
  </cols>
  <sheetData>
    <row r="1" spans="2:16" x14ac:dyDescent="0.25">
      <c r="B1" s="13"/>
      <c r="D1" s="12" t="s">
        <v>0</v>
      </c>
      <c r="E1" s="12"/>
      <c r="F1" s="12"/>
      <c r="G1" s="12"/>
    </row>
    <row r="2" spans="2:16" x14ac:dyDescent="0.25">
      <c r="B2" s="14" t="s">
        <v>1</v>
      </c>
    </row>
    <row r="4" spans="2:16" x14ac:dyDescent="0.25">
      <c r="B4" s="15" t="s">
        <v>2</v>
      </c>
      <c r="N4" s="16" t="s">
        <v>3</v>
      </c>
      <c r="O4" s="16"/>
      <c r="P4" s="16"/>
    </row>
    <row r="5" spans="2:16" x14ac:dyDescent="0.25">
      <c r="B5" s="15" t="s">
        <v>4</v>
      </c>
      <c r="N5" s="17" t="s">
        <v>5</v>
      </c>
      <c r="O5" s="17"/>
      <c r="P5" s="17"/>
    </row>
    <row r="6" spans="2:16" x14ac:dyDescent="0.25">
      <c r="B6" s="15" t="s">
        <v>6</v>
      </c>
      <c r="N6" s="18"/>
      <c r="O6" s="18" t="s">
        <v>7</v>
      </c>
      <c r="P6" s="18" t="s">
        <v>8</v>
      </c>
    </row>
    <row r="7" spans="2:16" x14ac:dyDescent="0.25">
      <c r="B7" s="15"/>
      <c r="C7" s="15"/>
      <c r="D7" s="15"/>
      <c r="E7" s="15"/>
      <c r="N7" s="18" t="s">
        <v>9</v>
      </c>
      <c r="O7" s="18" t="s">
        <v>10</v>
      </c>
      <c r="P7" s="18">
        <v>233</v>
      </c>
    </row>
    <row r="8" spans="2:16" x14ac:dyDescent="0.25">
      <c r="B8" s="15"/>
      <c r="C8" s="15"/>
      <c r="D8" s="15"/>
      <c r="E8" s="15"/>
      <c r="N8" s="18" t="s">
        <v>11</v>
      </c>
      <c r="O8" s="18" t="s">
        <v>12</v>
      </c>
      <c r="P8" s="18">
        <v>233</v>
      </c>
    </row>
    <row r="9" spans="2:16" x14ac:dyDescent="0.25">
      <c r="B9" t="s">
        <v>13</v>
      </c>
      <c r="C9" s="15"/>
      <c r="D9" s="15"/>
      <c r="E9" s="15"/>
      <c r="N9" s="18" t="s">
        <v>14</v>
      </c>
      <c r="O9" s="18"/>
      <c r="P9" s="18"/>
    </row>
    <row r="10" spans="2:16" x14ac:dyDescent="0.25">
      <c r="B10" t="s">
        <v>15</v>
      </c>
      <c r="C10" s="15"/>
      <c r="D10" s="15"/>
      <c r="E10" s="15"/>
    </row>
    <row r="11" spans="2:16" x14ac:dyDescent="0.25">
      <c r="B11" s="19" t="s">
        <v>16</v>
      </c>
      <c r="C11" s="15"/>
      <c r="D11" s="15"/>
      <c r="E11" s="15"/>
    </row>
    <row r="12" spans="2:16" x14ac:dyDescent="0.25">
      <c r="C12" s="15"/>
      <c r="D12" s="15"/>
      <c r="E12" s="15"/>
    </row>
    <row r="19" spans="2:2" x14ac:dyDescent="0.25">
      <c r="B19" s="15"/>
    </row>
    <row r="20" spans="2:2" x14ac:dyDescent="0.25">
      <c r="B20" s="15"/>
    </row>
  </sheetData>
  <mergeCells count="1">
    <mergeCell ref="D1:G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CC1DA"/>
  </sheetPr>
  <dimension ref="B1:T24"/>
  <sheetViews>
    <sheetView topLeftCell="A2" zoomScale="120" zoomScaleNormal="120" workbookViewId="0">
      <selection activeCell="J7" sqref="J7"/>
    </sheetView>
  </sheetViews>
  <sheetFormatPr defaultColWidth="8.85546875" defaultRowHeight="14.25" customHeight="1" x14ac:dyDescent="0.25"/>
  <cols>
    <col min="2" max="2" width="10" customWidth="1"/>
    <col min="17" max="17" width="10.5703125" customWidth="1"/>
    <col min="20" max="20" width="49.85546875" customWidth="1"/>
  </cols>
  <sheetData>
    <row r="1" spans="2:20" x14ac:dyDescent="0.25">
      <c r="B1" s="13"/>
      <c r="D1" s="12" t="s">
        <v>0</v>
      </c>
      <c r="E1" s="12"/>
      <c r="F1" s="12"/>
      <c r="G1" s="12"/>
      <c r="H1" s="12"/>
      <c r="I1" s="12"/>
    </row>
    <row r="3" spans="2:20" x14ac:dyDescent="0.25">
      <c r="B3" s="11" t="s">
        <v>17</v>
      </c>
      <c r="C3" s="11"/>
      <c r="D3" s="11"/>
      <c r="E3" s="11"/>
      <c r="F3" s="11"/>
      <c r="G3" s="11"/>
      <c r="H3" s="11"/>
      <c r="I3" s="11"/>
      <c r="J3" s="11"/>
      <c r="K3" s="11"/>
    </row>
    <row r="6" spans="2:20" x14ac:dyDescent="0.25">
      <c r="B6" s="12" t="s">
        <v>18</v>
      </c>
      <c r="C6" s="12"/>
      <c r="D6" s="12"/>
      <c r="E6" s="12"/>
      <c r="F6" s="20"/>
      <c r="G6" s="20"/>
      <c r="I6" s="10" t="s">
        <v>19</v>
      </c>
      <c r="J6" s="10"/>
      <c r="K6" s="10"/>
      <c r="L6" s="10"/>
      <c r="M6" s="10"/>
      <c r="N6" s="10"/>
      <c r="O6" s="10"/>
      <c r="Q6" s="10" t="s">
        <v>20</v>
      </c>
      <c r="R6" s="10"/>
      <c r="S6" s="10"/>
      <c r="T6" s="10"/>
    </row>
    <row r="8" spans="2:20" x14ac:dyDescent="0.25">
      <c r="B8" s="21" t="s">
        <v>21</v>
      </c>
      <c r="C8" s="9" t="s">
        <v>22</v>
      </c>
      <c r="D8" s="9"/>
      <c r="E8" s="9"/>
      <c r="F8" s="22"/>
      <c r="G8" s="22"/>
      <c r="I8" s="13" t="s">
        <v>23</v>
      </c>
      <c r="Q8" s="8" t="s">
        <v>24</v>
      </c>
      <c r="R8" s="8"/>
      <c r="S8" s="8"/>
      <c r="T8" s="23">
        <v>6</v>
      </c>
    </row>
    <row r="9" spans="2:20" x14ac:dyDescent="0.25">
      <c r="B9" s="17" t="s">
        <v>25</v>
      </c>
      <c r="C9" s="7" t="s">
        <v>26</v>
      </c>
      <c r="D9" s="7"/>
      <c r="E9" s="7"/>
      <c r="F9" s="24"/>
      <c r="G9" s="24"/>
      <c r="I9" s="25" t="s">
        <v>27</v>
      </c>
      <c r="Q9" s="8" t="s">
        <v>28</v>
      </c>
      <c r="R9" s="8"/>
      <c r="S9" s="8"/>
      <c r="T9" s="23" t="s">
        <v>29</v>
      </c>
    </row>
    <row r="10" spans="2:20" x14ac:dyDescent="0.25">
      <c r="B10" s="17" t="s">
        <v>30</v>
      </c>
      <c r="C10" s="7" t="s">
        <v>26</v>
      </c>
      <c r="D10" s="7"/>
      <c r="E10" s="7"/>
      <c r="F10" s="24"/>
      <c r="G10" s="24"/>
      <c r="I10" s="6" t="s">
        <v>31</v>
      </c>
      <c r="J10" s="6"/>
      <c r="K10" s="6"/>
      <c r="L10" s="6"/>
      <c r="M10" s="6"/>
      <c r="N10" s="6"/>
      <c r="O10" s="6"/>
      <c r="Q10" s="8" t="s">
        <v>32</v>
      </c>
      <c r="R10" s="8" t="s">
        <v>33</v>
      </c>
      <c r="S10" s="8"/>
      <c r="T10" s="23" t="s">
        <v>34</v>
      </c>
    </row>
    <row r="11" spans="2:20" x14ac:dyDescent="0.25">
      <c r="B11" s="17" t="s">
        <v>35</v>
      </c>
      <c r="C11" s="7" t="s">
        <v>26</v>
      </c>
      <c r="D11" s="7"/>
      <c r="E11" s="7"/>
      <c r="F11" s="24"/>
      <c r="G11" s="24"/>
      <c r="I11" s="6"/>
      <c r="J11" s="6"/>
      <c r="K11" s="6"/>
      <c r="L11" s="6"/>
      <c r="M11" s="6"/>
      <c r="N11" s="6"/>
      <c r="O11" s="6"/>
    </row>
    <row r="12" spans="2:20" x14ac:dyDescent="0.25">
      <c r="B12" s="17" t="s">
        <v>36</v>
      </c>
      <c r="C12" s="7" t="s">
        <v>26</v>
      </c>
      <c r="D12" s="7"/>
      <c r="E12" s="7"/>
      <c r="F12" s="24"/>
      <c r="G12" s="24"/>
      <c r="I12" s="6"/>
      <c r="J12" s="6"/>
      <c r="K12" s="6"/>
      <c r="L12" s="6"/>
      <c r="M12" s="6"/>
      <c r="N12" s="6"/>
      <c r="O12" s="6"/>
    </row>
    <row r="13" spans="2:20" x14ac:dyDescent="0.25">
      <c r="B13" s="17" t="s">
        <v>37</v>
      </c>
      <c r="C13" s="7" t="s">
        <v>26</v>
      </c>
      <c r="D13" s="7"/>
      <c r="E13" s="7"/>
      <c r="F13" s="24"/>
      <c r="G13" s="24"/>
      <c r="I13" s="6"/>
      <c r="J13" s="6"/>
      <c r="K13" s="6"/>
      <c r="L13" s="6"/>
      <c r="M13" s="6"/>
      <c r="N13" s="6"/>
      <c r="O13" s="6"/>
      <c r="Q13" s="10" t="s">
        <v>38</v>
      </c>
      <c r="R13" s="10"/>
      <c r="S13" s="10"/>
      <c r="T13" s="10"/>
    </row>
    <row r="14" spans="2:20" x14ac:dyDescent="0.25">
      <c r="B14" s="17" t="s">
        <v>36</v>
      </c>
      <c r="C14" s="7" t="s">
        <v>26</v>
      </c>
      <c r="D14" s="7"/>
      <c r="E14" s="7"/>
      <c r="F14" s="24"/>
      <c r="G14" s="24"/>
      <c r="I14" s="6"/>
      <c r="J14" s="6"/>
      <c r="K14" s="6"/>
      <c r="L14" s="6"/>
      <c r="M14" s="6"/>
      <c r="N14" s="6"/>
      <c r="O14" s="6"/>
    </row>
    <row r="15" spans="2:20" x14ac:dyDescent="0.25">
      <c r="I15" s="6"/>
      <c r="J15" s="6"/>
      <c r="K15" s="6"/>
      <c r="L15" s="6"/>
      <c r="M15" s="6"/>
      <c r="N15" s="6"/>
      <c r="O15" s="6"/>
      <c r="Q15" s="21" t="s">
        <v>39</v>
      </c>
      <c r="R15" s="9" t="s">
        <v>40</v>
      </c>
      <c r="S15" s="9"/>
      <c r="T15" s="9"/>
    </row>
    <row r="16" spans="2:20" x14ac:dyDescent="0.25">
      <c r="I16" s="6"/>
      <c r="J16" s="6"/>
      <c r="K16" s="6"/>
      <c r="L16" s="6"/>
      <c r="M16" s="6"/>
      <c r="N16" s="6"/>
      <c r="O16" s="6"/>
      <c r="Q16" s="17" t="s">
        <v>41</v>
      </c>
      <c r="R16" s="5" t="s">
        <v>42</v>
      </c>
      <c r="S16" s="5"/>
      <c r="T16" s="5"/>
    </row>
    <row r="17" spans="9:20" x14ac:dyDescent="0.25">
      <c r="I17" s="6"/>
      <c r="J17" s="6"/>
      <c r="K17" s="6"/>
      <c r="L17" s="6"/>
      <c r="M17" s="6"/>
      <c r="N17" s="6"/>
      <c r="O17" s="6"/>
      <c r="Q17" s="17" t="s">
        <v>43</v>
      </c>
      <c r="R17" s="5" t="s">
        <v>44</v>
      </c>
      <c r="S17" s="5"/>
      <c r="T17" s="5"/>
    </row>
    <row r="18" spans="9:20" x14ac:dyDescent="0.25">
      <c r="I18" s="6"/>
      <c r="J18" s="6"/>
      <c r="K18" s="6"/>
      <c r="L18" s="6"/>
      <c r="M18" s="6"/>
      <c r="N18" s="6"/>
      <c r="O18" s="6"/>
      <c r="Q18" s="17" t="s">
        <v>45</v>
      </c>
      <c r="R18" s="5" t="s">
        <v>46</v>
      </c>
      <c r="S18" s="5"/>
      <c r="T18" s="5"/>
    </row>
    <row r="19" spans="9:20" x14ac:dyDescent="0.25">
      <c r="I19" s="6"/>
      <c r="J19" s="6"/>
      <c r="K19" s="6"/>
      <c r="L19" s="6"/>
      <c r="M19" s="6"/>
      <c r="N19" s="6"/>
      <c r="O19" s="6"/>
      <c r="Q19" s="17" t="s">
        <v>47</v>
      </c>
      <c r="R19" s="5" t="s">
        <v>48</v>
      </c>
      <c r="S19" s="5"/>
      <c r="T19" s="5"/>
    </row>
    <row r="20" spans="9:20" x14ac:dyDescent="0.25">
      <c r="I20" s="6"/>
      <c r="J20" s="6"/>
      <c r="K20" s="6"/>
      <c r="L20" s="6"/>
      <c r="M20" s="6"/>
      <c r="N20" s="6"/>
      <c r="O20" s="6"/>
      <c r="Q20" s="17" t="s">
        <v>49</v>
      </c>
      <c r="R20" s="5" t="s">
        <v>50</v>
      </c>
      <c r="S20" s="5"/>
      <c r="T20" s="5"/>
    </row>
    <row r="21" spans="9:20" x14ac:dyDescent="0.25">
      <c r="I21" s="6"/>
      <c r="J21" s="6"/>
      <c r="K21" s="6"/>
      <c r="L21" s="6"/>
      <c r="M21" s="6"/>
      <c r="N21" s="6"/>
      <c r="O21" s="6"/>
      <c r="Q21" s="17" t="s">
        <v>51</v>
      </c>
      <c r="R21" s="5" t="s">
        <v>52</v>
      </c>
      <c r="S21" s="5"/>
      <c r="T21" s="5"/>
    </row>
    <row r="22" spans="9:20" x14ac:dyDescent="0.25">
      <c r="I22" s="6"/>
      <c r="J22" s="6"/>
      <c r="K22" s="6"/>
      <c r="L22" s="6"/>
      <c r="M22" s="6"/>
      <c r="N22" s="6"/>
      <c r="O22" s="6"/>
    </row>
    <row r="23" spans="9:20" x14ac:dyDescent="0.25">
      <c r="I23" s="6"/>
      <c r="J23" s="6"/>
      <c r="K23" s="6"/>
      <c r="L23" s="6"/>
      <c r="M23" s="6"/>
      <c r="N23" s="6"/>
      <c r="O23" s="6"/>
    </row>
    <row r="24" spans="9:20" x14ac:dyDescent="0.25">
      <c r="I24" s="6"/>
      <c r="J24" s="6"/>
      <c r="K24" s="6"/>
      <c r="L24" s="6"/>
      <c r="M24" s="6"/>
      <c r="N24" s="6"/>
      <c r="O24" s="6"/>
    </row>
  </sheetData>
  <mergeCells count="24">
    <mergeCell ref="R19:T19"/>
    <mergeCell ref="R20:T20"/>
    <mergeCell ref="R21:T21"/>
    <mergeCell ref="C8:E8"/>
    <mergeCell ref="Q8:S8"/>
    <mergeCell ref="C9:E9"/>
    <mergeCell ref="Q9:S9"/>
    <mergeCell ref="C10:E10"/>
    <mergeCell ref="I10:O24"/>
    <mergeCell ref="Q10:S10"/>
    <mergeCell ref="C11:E11"/>
    <mergeCell ref="C12:E12"/>
    <mergeCell ref="C13:E13"/>
    <mergeCell ref="Q13:T13"/>
    <mergeCell ref="C14:E14"/>
    <mergeCell ref="R15:T15"/>
    <mergeCell ref="R16:T16"/>
    <mergeCell ref="R17:T17"/>
    <mergeCell ref="R18:T18"/>
    <mergeCell ref="D1:I1"/>
    <mergeCell ref="B3:K3"/>
    <mergeCell ref="B6:E6"/>
    <mergeCell ref="I6:O6"/>
    <mergeCell ref="Q6:T6"/>
  </mergeCells>
  <hyperlinks>
    <hyperlink ref="I9" r:id="rId1" location="pako:eNpVkt1umzAUx1_lyJcbjYDYJLGWSWvSj6RptYteFXJhgQlowWaOUZuRSH2PaXuePUefZOajicsVR_6d3_8cQ41imXBEUbqVz3HGlIbHeSTAPN_CmSzKSvNHqdl2DRcXX-Gyxj6FRQoSplMQ1XZ77ODL5vigVcUPMAvxkILiulIC3LUNpGy7M8Q8xITCripgegLmbcBVjQMKqVScxRnIwYbrhebFro-5ai28KPX-ANchmZxyjGxtM0Jq6L" display="https://mermaid.ai/live/edit#pako:eNpVkt1umzAUx1_lyJcbjYDYJLGWSWvSj6RptYteFXJhgQlowWaOUZuRSH2PaXuePUefZOajicsVR_6d3_8cQ41imXBEUbqVz3HGlIbHeSTAPN_CmSzKSvNHqdl2DRcXX-Gyxj6FRQoSplMQ1XZ77ODL5vigVcUPMAvxkILiulIC3LUNpGy7M8Q8xITCripgegLmbcBVjQMKqVScxRnIwYbrhebFro-5ai28KPX-ANchmZxyjGxtM0Jq6LmbEI8olCYrzUXyXcmkinUP37SptzUet8SHnW6tnRYhNlk6U_IZ3l7_5mam_O31z9om--WWNfEo_KyY0LnewxezYi9cWsK7kPiWMG5ppvlZurSlq5qYOy3NsrZwZQnvQ4ItoUH__T7LVrbsISRBd_2fp53zE5wG6Bseus8Ria6cteXTh18C-Ev-fo_X3XlXLOzizi7uuwI5aKPyBNFmdAcVXBWsKVHdYBHSGS94hKh5TZj6EaFIHE1PycSTlMV7m5LVJkO0XcpBVZmY6ec52yh2RrhIuJrJSmhEPc9vHYjW6AVRHIwHgT_CE2_i-R52sYP2iPqTAQk8d0zIaBj4eOiTo4N-tanuYGxo8wTuMBg1Pcf_-cv9Hw" xr:uid="{00000000-0004-0000-0100-000000000000}"/>
  </hyperlinks>
  <pageMargins left="0.7" right="0.7" top="0.75" bottom="0.75" header="0.511811023622047" footer="0.511811023622047"/>
  <pageSetup paperSize="9" orientation="portrait" horizontalDpi="300" verticalDpi="30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CC1DA"/>
  </sheetPr>
  <dimension ref="B1:AA1048576"/>
  <sheetViews>
    <sheetView zoomScale="120" zoomScaleNormal="120" workbookViewId="0">
      <selection activeCell="D10" sqref="D10"/>
    </sheetView>
  </sheetViews>
  <sheetFormatPr defaultColWidth="8.85546875" defaultRowHeight="14.25" customHeight="1" x14ac:dyDescent="0.25"/>
  <cols>
    <col min="2" max="2" width="12.28515625" customWidth="1"/>
    <col min="3" max="3" width="18.28515625" customWidth="1"/>
    <col min="4" max="4" width="18.140625" customWidth="1"/>
    <col min="5" max="5" width="19.85546875" customWidth="1"/>
    <col min="6" max="6" width="8.140625" customWidth="1"/>
    <col min="7" max="7" width="11.42578125" customWidth="1"/>
    <col min="8" max="8" width="11.140625" customWidth="1"/>
    <col min="9" max="9" width="9.28515625" customWidth="1"/>
    <col min="10" max="10" width="14.5703125" customWidth="1"/>
    <col min="11" max="11" width="6.140625" customWidth="1"/>
    <col min="12" max="12" width="8.140625" customWidth="1"/>
    <col min="13" max="13" width="11.140625" customWidth="1"/>
    <col min="15" max="15" width="11.85546875" customWidth="1"/>
    <col min="21" max="21" width="9.140625" customWidth="1"/>
    <col min="22" max="24" width="2.140625" customWidth="1"/>
    <col min="25" max="25" width="3.5703125" customWidth="1"/>
    <col min="26" max="26" width="2.140625" customWidth="1"/>
    <col min="27" max="27" width="5.140625" customWidth="1"/>
    <col min="16384" max="16384" width="10.42578125" customWidth="1"/>
  </cols>
  <sheetData>
    <row r="1" spans="2:27" ht="15" x14ac:dyDescent="0.25">
      <c r="B1" s="13"/>
      <c r="D1" s="12" t="s">
        <v>0</v>
      </c>
      <c r="E1" s="12"/>
      <c r="F1" s="12"/>
      <c r="G1" s="12"/>
    </row>
    <row r="3" spans="2:27" ht="15" x14ac:dyDescent="0.25">
      <c r="B3" s="11" t="s">
        <v>17</v>
      </c>
      <c r="C3" s="11"/>
      <c r="D3" s="11"/>
      <c r="E3" s="11"/>
      <c r="F3" s="11"/>
    </row>
    <row r="5" spans="2:27" ht="15" x14ac:dyDescent="0.25">
      <c r="B5" s="26"/>
    </row>
    <row r="6" spans="2:27" ht="15" customHeight="1" x14ac:dyDescent="0.25">
      <c r="B6" s="4" t="s">
        <v>53</v>
      </c>
      <c r="C6" s="4" t="s">
        <v>54</v>
      </c>
      <c r="D6" s="4" t="s">
        <v>55</v>
      </c>
      <c r="E6" s="4" t="s">
        <v>56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2:27" ht="15" customHeight="1" x14ac:dyDescent="0.25">
      <c r="B7" s="4"/>
      <c r="C7" s="4"/>
      <c r="D7" s="4"/>
      <c r="E7" s="3" t="s">
        <v>57</v>
      </c>
      <c r="F7" s="2" t="s">
        <v>58</v>
      </c>
      <c r="G7" s="2"/>
      <c r="H7" s="2"/>
      <c r="I7" s="2"/>
      <c r="J7" s="2"/>
      <c r="K7" s="2"/>
      <c r="L7" s="2"/>
      <c r="M7" s="2"/>
      <c r="N7" s="2"/>
      <c r="O7" s="2"/>
      <c r="P7" s="1" t="s">
        <v>59</v>
      </c>
      <c r="Q7" s="1"/>
      <c r="R7" s="1"/>
      <c r="S7" s="1"/>
      <c r="T7" s="1"/>
      <c r="U7" s="1"/>
      <c r="V7" s="47" t="s">
        <v>60</v>
      </c>
      <c r="W7" s="47"/>
      <c r="X7" s="47"/>
      <c r="Y7" s="47"/>
      <c r="Z7" s="47"/>
      <c r="AA7" s="47"/>
    </row>
    <row r="8" spans="2:27" ht="15" customHeight="1" x14ac:dyDescent="0.25">
      <c r="B8" s="4"/>
      <c r="C8" s="48" t="s">
        <v>61</v>
      </c>
      <c r="D8" s="48" t="s">
        <v>62</v>
      </c>
      <c r="E8" s="3"/>
      <c r="F8" s="2" t="s">
        <v>63</v>
      </c>
      <c r="G8" s="2"/>
      <c r="H8" s="2" t="s">
        <v>64</v>
      </c>
      <c r="I8" s="2"/>
      <c r="J8" s="2" t="s">
        <v>65</v>
      </c>
      <c r="K8" s="2"/>
      <c r="L8" s="2" t="s">
        <v>66</v>
      </c>
      <c r="M8" s="2"/>
      <c r="N8" s="2" t="s">
        <v>67</v>
      </c>
      <c r="O8" s="2"/>
      <c r="P8" s="1" t="s">
        <v>41</v>
      </c>
      <c r="Q8" s="1" t="s">
        <v>43</v>
      </c>
      <c r="R8" s="1" t="s">
        <v>45</v>
      </c>
      <c r="S8" s="1" t="s">
        <v>47</v>
      </c>
      <c r="T8" s="1" t="s">
        <v>49</v>
      </c>
      <c r="U8" s="1" t="s">
        <v>51</v>
      </c>
      <c r="V8" s="47">
        <v>0</v>
      </c>
      <c r="W8" s="47">
        <v>1</v>
      </c>
      <c r="X8" s="47">
        <v>2</v>
      </c>
      <c r="Y8" s="47" t="s">
        <v>68</v>
      </c>
      <c r="Z8" s="47" t="s">
        <v>69</v>
      </c>
      <c r="AA8" s="47" t="s">
        <v>70</v>
      </c>
    </row>
    <row r="9" spans="2:27" ht="15.75" x14ac:dyDescent="0.25">
      <c r="B9" s="4"/>
      <c r="C9" s="48"/>
      <c r="D9" s="48"/>
      <c r="E9" s="3"/>
      <c r="F9" s="27" t="s">
        <v>71</v>
      </c>
      <c r="G9" s="27" t="s">
        <v>72</v>
      </c>
      <c r="H9" s="27" t="s">
        <v>71</v>
      </c>
      <c r="I9" s="27" t="s">
        <v>72</v>
      </c>
      <c r="J9" s="27" t="s">
        <v>71</v>
      </c>
      <c r="K9" s="27" t="s">
        <v>72</v>
      </c>
      <c r="L9" s="27" t="s">
        <v>71</v>
      </c>
      <c r="M9" s="27" t="s">
        <v>72</v>
      </c>
      <c r="N9" s="27" t="s">
        <v>71</v>
      </c>
      <c r="O9" s="27" t="s">
        <v>72</v>
      </c>
      <c r="P9" s="1"/>
      <c r="Q9" s="1"/>
      <c r="R9" s="1"/>
      <c r="S9" s="1"/>
      <c r="T9" s="1"/>
      <c r="U9" s="1"/>
      <c r="V9" s="47"/>
      <c r="W9" s="47"/>
      <c r="X9" s="47"/>
      <c r="Y9" s="47"/>
      <c r="Z9" s="47"/>
      <c r="AA9" s="47"/>
    </row>
    <row r="10" spans="2:27" ht="26.1" customHeight="1" x14ac:dyDescent="0.25">
      <c r="B10" s="28" t="s">
        <v>73</v>
      </c>
      <c r="C10" s="28" t="s">
        <v>74</v>
      </c>
      <c r="D10" s="69">
        <v>0</v>
      </c>
      <c r="E10" s="30" t="s">
        <v>76</v>
      </c>
      <c r="F10" s="31" t="s">
        <v>77</v>
      </c>
      <c r="G10" s="31"/>
      <c r="H10" s="31"/>
      <c r="I10" s="31"/>
      <c r="J10" s="31"/>
      <c r="K10" s="31"/>
      <c r="L10" s="31"/>
      <c r="M10" s="31"/>
      <c r="N10" s="31"/>
      <c r="O10" s="31"/>
      <c r="P10" s="32" t="s">
        <v>77</v>
      </c>
      <c r="Q10" s="32"/>
      <c r="R10" s="32"/>
      <c r="S10" s="32"/>
      <c r="T10" s="32"/>
      <c r="U10" s="32"/>
      <c r="V10" s="33"/>
      <c r="W10" s="33"/>
      <c r="X10" s="33"/>
      <c r="Y10" s="33"/>
      <c r="Z10" s="33"/>
      <c r="AA10" s="33"/>
    </row>
    <row r="11" spans="2:27" ht="15.75" x14ac:dyDescent="0.25">
      <c r="B11" s="28" t="s">
        <v>106</v>
      </c>
      <c r="C11" s="28" t="s">
        <v>78</v>
      </c>
      <c r="D11" s="29" t="s">
        <v>75</v>
      </c>
      <c r="E11" s="30" t="s">
        <v>79</v>
      </c>
      <c r="F11" s="31"/>
      <c r="G11" s="31" t="s">
        <v>77</v>
      </c>
      <c r="H11" s="31" t="s">
        <v>77</v>
      </c>
      <c r="I11" s="31"/>
      <c r="J11" s="31"/>
      <c r="K11" s="31"/>
      <c r="L11" s="31"/>
      <c r="M11" s="31"/>
      <c r="N11" s="31"/>
      <c r="O11" s="31"/>
      <c r="P11" s="32"/>
      <c r="Q11" s="32" t="s">
        <v>77</v>
      </c>
      <c r="R11" s="32"/>
      <c r="S11" s="32"/>
      <c r="T11" s="32"/>
      <c r="U11" s="32"/>
      <c r="V11" s="33" t="s">
        <v>77</v>
      </c>
      <c r="W11" s="33"/>
      <c r="X11" s="33"/>
      <c r="Y11" s="33"/>
      <c r="Z11" s="33"/>
      <c r="AA11" s="33"/>
    </row>
    <row r="12" spans="2:27" ht="31.5" x14ac:dyDescent="0.25">
      <c r="B12" s="28" t="s">
        <v>107</v>
      </c>
      <c r="C12" s="28" t="s">
        <v>80</v>
      </c>
      <c r="D12" s="29" t="s">
        <v>81</v>
      </c>
      <c r="E12" s="30" t="s">
        <v>82</v>
      </c>
      <c r="F12" s="31"/>
      <c r="G12" s="31" t="s">
        <v>77</v>
      </c>
      <c r="H12" s="31"/>
      <c r="I12" s="31" t="s">
        <v>77</v>
      </c>
      <c r="J12" s="31" t="s">
        <v>77</v>
      </c>
      <c r="K12" s="31"/>
      <c r="L12" s="31"/>
      <c r="M12" s="31"/>
      <c r="N12" s="31"/>
      <c r="O12" s="31"/>
      <c r="P12" s="32"/>
      <c r="Q12" s="32"/>
      <c r="R12" s="32" t="s">
        <v>77</v>
      </c>
      <c r="S12" s="32"/>
      <c r="T12" s="32"/>
      <c r="U12" s="32"/>
      <c r="V12" s="33" t="s">
        <v>77</v>
      </c>
      <c r="W12" s="33"/>
      <c r="X12" s="33"/>
      <c r="Y12" s="33"/>
      <c r="Z12" s="33"/>
      <c r="AA12" s="33"/>
    </row>
    <row r="13" spans="2:27" ht="31.5" x14ac:dyDescent="0.25">
      <c r="B13" s="28" t="s">
        <v>108</v>
      </c>
      <c r="C13" s="28" t="s">
        <v>83</v>
      </c>
      <c r="D13" s="29" t="s">
        <v>84</v>
      </c>
      <c r="E13" s="30" t="s">
        <v>85</v>
      </c>
      <c r="F13" s="31"/>
      <c r="G13" s="31" t="s">
        <v>77</v>
      </c>
      <c r="H13" s="31"/>
      <c r="I13" s="31" t="s">
        <v>77</v>
      </c>
      <c r="J13" s="31"/>
      <c r="K13" s="31" t="s">
        <v>77</v>
      </c>
      <c r="L13" s="31" t="s">
        <v>77</v>
      </c>
      <c r="M13" s="31"/>
      <c r="N13" s="31"/>
      <c r="O13" s="31"/>
      <c r="P13" s="32"/>
      <c r="Q13" s="32"/>
      <c r="R13" s="32"/>
      <c r="S13" s="32" t="s">
        <v>77</v>
      </c>
      <c r="T13" s="32"/>
      <c r="U13" s="32"/>
      <c r="V13" s="33" t="s">
        <v>77</v>
      </c>
      <c r="W13" s="33"/>
      <c r="X13" s="33"/>
      <c r="Y13" s="33"/>
      <c r="Z13" s="33"/>
      <c r="AA13" s="33"/>
    </row>
    <row r="14" spans="2:27" ht="31.5" x14ac:dyDescent="0.25">
      <c r="B14" s="28" t="s">
        <v>109</v>
      </c>
      <c r="C14" s="28" t="s">
        <v>86</v>
      </c>
      <c r="D14" s="29" t="s">
        <v>87</v>
      </c>
      <c r="E14" s="30" t="s">
        <v>88</v>
      </c>
      <c r="F14" s="31"/>
      <c r="G14" s="31" t="s">
        <v>77</v>
      </c>
      <c r="H14" s="31"/>
      <c r="I14" s="31" t="s">
        <v>77</v>
      </c>
      <c r="J14" s="31"/>
      <c r="K14" s="31" t="s">
        <v>77</v>
      </c>
      <c r="L14" s="31"/>
      <c r="M14" s="31" t="s">
        <v>77</v>
      </c>
      <c r="N14" s="31" t="s">
        <v>77</v>
      </c>
      <c r="O14" s="31"/>
      <c r="P14" s="32"/>
      <c r="Q14" s="32"/>
      <c r="R14" s="32"/>
      <c r="S14" s="32"/>
      <c r="T14" s="32" t="s">
        <v>77</v>
      </c>
      <c r="U14" s="32"/>
      <c r="V14" s="33" t="s">
        <v>77</v>
      </c>
      <c r="W14" s="33"/>
      <c r="X14" s="33"/>
      <c r="Y14" s="33"/>
      <c r="Z14" s="33"/>
      <c r="AA14" s="33"/>
    </row>
    <row r="15" spans="2:27" ht="31.5" x14ac:dyDescent="0.25">
      <c r="B15" s="28" t="s">
        <v>110</v>
      </c>
      <c r="C15" s="28" t="s">
        <v>89</v>
      </c>
      <c r="D15" s="29" t="s">
        <v>90</v>
      </c>
      <c r="E15" s="30" t="s">
        <v>91</v>
      </c>
      <c r="F15" s="31"/>
      <c r="G15" s="31" t="s">
        <v>77</v>
      </c>
      <c r="H15" s="31" t="s">
        <v>77</v>
      </c>
      <c r="I15" s="31" t="s">
        <v>77</v>
      </c>
      <c r="J15" s="31"/>
      <c r="K15" s="31" t="s">
        <v>77</v>
      </c>
      <c r="L15" s="31"/>
      <c r="M15" s="31" t="s">
        <v>77</v>
      </c>
      <c r="N15" s="31"/>
      <c r="O15" s="31" t="s">
        <v>77</v>
      </c>
      <c r="P15" s="32"/>
      <c r="Q15" s="32"/>
      <c r="R15" s="32"/>
      <c r="S15" s="32"/>
      <c r="T15" s="32"/>
      <c r="U15" s="32" t="s">
        <v>77</v>
      </c>
      <c r="V15" s="33"/>
      <c r="W15" s="33"/>
      <c r="X15" s="33" t="s">
        <v>77</v>
      </c>
      <c r="Y15" s="33"/>
      <c r="Z15" s="33" t="s">
        <v>77</v>
      </c>
      <c r="AA15" s="33"/>
    </row>
    <row r="16" spans="2:27" ht="31.5" x14ac:dyDescent="0.25">
      <c r="B16" s="28" t="s">
        <v>111</v>
      </c>
      <c r="C16" s="28" t="s">
        <v>92</v>
      </c>
      <c r="D16" s="29" t="s">
        <v>93</v>
      </c>
      <c r="E16" s="30" t="s">
        <v>91</v>
      </c>
      <c r="F16" s="31"/>
      <c r="G16" s="31" t="s">
        <v>77</v>
      </c>
      <c r="H16" s="31" t="s">
        <v>77</v>
      </c>
      <c r="I16" s="31" t="s">
        <v>77</v>
      </c>
      <c r="J16" s="31"/>
      <c r="K16" s="31" t="s">
        <v>77</v>
      </c>
      <c r="L16" s="31"/>
      <c r="M16" s="31" t="s">
        <v>77</v>
      </c>
      <c r="N16" s="31"/>
      <c r="O16" s="31" t="s">
        <v>77</v>
      </c>
      <c r="P16" s="32"/>
      <c r="Q16" s="32"/>
      <c r="R16" s="32"/>
      <c r="S16" s="32"/>
      <c r="T16" s="32"/>
      <c r="U16" s="32" t="s">
        <v>77</v>
      </c>
      <c r="V16" s="33"/>
      <c r="W16" s="33" t="s">
        <v>77</v>
      </c>
      <c r="X16" s="33"/>
      <c r="Y16" s="33"/>
      <c r="Z16" s="33" t="s">
        <v>77</v>
      </c>
      <c r="AA16" s="33"/>
    </row>
    <row r="17" spans="2:27" ht="31.5" x14ac:dyDescent="0.25">
      <c r="B17" s="28" t="s">
        <v>112</v>
      </c>
      <c r="C17" s="28" t="s">
        <v>92</v>
      </c>
      <c r="D17" s="29" t="s">
        <v>93</v>
      </c>
      <c r="E17" s="30" t="s">
        <v>91</v>
      </c>
      <c r="F17" s="31"/>
      <c r="G17" s="31" t="s">
        <v>77</v>
      </c>
      <c r="H17" s="31" t="s">
        <v>77</v>
      </c>
      <c r="I17" s="31" t="s">
        <v>77</v>
      </c>
      <c r="J17" s="31"/>
      <c r="K17" s="31" t="s">
        <v>77</v>
      </c>
      <c r="L17" s="31"/>
      <c r="M17" s="31" t="s">
        <v>77</v>
      </c>
      <c r="N17" s="31"/>
      <c r="O17" s="31" t="s">
        <v>77</v>
      </c>
      <c r="P17" s="32"/>
      <c r="Q17" s="32"/>
      <c r="R17" s="32"/>
      <c r="S17" s="32"/>
      <c r="T17" s="32"/>
      <c r="U17" s="32" t="s">
        <v>77</v>
      </c>
      <c r="V17" s="33"/>
      <c r="W17" s="33" t="s">
        <v>77</v>
      </c>
      <c r="X17" s="33"/>
      <c r="Y17" s="33"/>
      <c r="Z17" s="33" t="s">
        <v>77</v>
      </c>
      <c r="AA17" s="33"/>
    </row>
    <row r="18" spans="2:27" ht="31.5" x14ac:dyDescent="0.25">
      <c r="B18" s="28" t="s">
        <v>113</v>
      </c>
      <c r="C18" s="28" t="s">
        <v>94</v>
      </c>
      <c r="D18" s="29" t="s">
        <v>87</v>
      </c>
      <c r="E18" s="30" t="s">
        <v>95</v>
      </c>
      <c r="F18" s="31"/>
      <c r="G18" s="31" t="s">
        <v>77</v>
      </c>
      <c r="H18" s="31" t="s">
        <v>77</v>
      </c>
      <c r="I18" s="31" t="s">
        <v>77</v>
      </c>
      <c r="J18" s="31"/>
      <c r="K18" s="31" t="s">
        <v>77</v>
      </c>
      <c r="L18" s="31"/>
      <c r="M18" s="31" t="s">
        <v>77</v>
      </c>
      <c r="N18" s="31" t="s">
        <v>77</v>
      </c>
      <c r="O18" s="31" t="s">
        <v>77</v>
      </c>
      <c r="P18" s="32"/>
      <c r="Q18" s="32"/>
      <c r="R18" s="32"/>
      <c r="S18" s="32"/>
      <c r="T18" s="32" t="s">
        <v>77</v>
      </c>
      <c r="U18" s="32" t="s">
        <v>77</v>
      </c>
      <c r="V18" s="33"/>
      <c r="W18" s="33"/>
      <c r="X18" s="33"/>
      <c r="Y18" s="33" t="s">
        <v>77</v>
      </c>
      <c r="Z18" s="33"/>
      <c r="AA18" s="33" t="s">
        <v>77</v>
      </c>
    </row>
    <row r="1048576" ht="15" x14ac:dyDescent="0.25"/>
  </sheetData>
  <mergeCells count="29">
    <mergeCell ref="Y8:Y9"/>
    <mergeCell ref="Z8:Z9"/>
    <mergeCell ref="AA8:AA9"/>
    <mergeCell ref="T8:T9"/>
    <mergeCell ref="U8:U9"/>
    <mergeCell ref="V8:V9"/>
    <mergeCell ref="W8:W9"/>
    <mergeCell ref="X8:X9"/>
    <mergeCell ref="N8:O8"/>
    <mergeCell ref="P8:P9"/>
    <mergeCell ref="Q8:Q9"/>
    <mergeCell ref="R8:R9"/>
    <mergeCell ref="S8:S9"/>
    <mergeCell ref="D1:G1"/>
    <mergeCell ref="B3:F3"/>
    <mergeCell ref="B6:B9"/>
    <mergeCell ref="C6:C7"/>
    <mergeCell ref="D6:D7"/>
    <mergeCell ref="E6:AA6"/>
    <mergeCell ref="E7:E9"/>
    <mergeCell ref="F7:O7"/>
    <mergeCell ref="P7:U7"/>
    <mergeCell ref="V7:AA7"/>
    <mergeCell ref="C8:C9"/>
    <mergeCell ref="D8:D9"/>
    <mergeCell ref="F8:G8"/>
    <mergeCell ref="H8:I8"/>
    <mergeCell ref="J8:K8"/>
    <mergeCell ref="L8:M8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EB4E3"/>
  </sheetPr>
  <dimension ref="B1:N20"/>
  <sheetViews>
    <sheetView tabSelected="1" zoomScale="120" zoomScaleNormal="120" workbookViewId="0">
      <selection activeCell="N10" sqref="N10"/>
    </sheetView>
  </sheetViews>
  <sheetFormatPr defaultColWidth="8.85546875" defaultRowHeight="14.25" customHeight="1" x14ac:dyDescent="0.25"/>
  <cols>
    <col min="3" max="3" width="7.140625" customWidth="1"/>
    <col min="4" max="4" width="11.28515625" customWidth="1"/>
    <col min="5" max="5" width="37" customWidth="1"/>
    <col min="6" max="6" width="19.7109375" customWidth="1"/>
    <col min="7" max="7" width="19.28515625" customWidth="1"/>
    <col min="8" max="8" width="10" customWidth="1"/>
    <col min="10" max="10" width="7.140625" customWidth="1"/>
    <col min="11" max="12" width="10.140625" customWidth="1"/>
    <col min="13" max="13" width="16.140625" customWidth="1"/>
    <col min="15" max="15" width="12.28515625" customWidth="1"/>
  </cols>
  <sheetData>
    <row r="1" spans="2:12" ht="15" x14ac:dyDescent="0.25">
      <c r="B1" s="13"/>
      <c r="D1" s="12" t="s">
        <v>0</v>
      </c>
      <c r="E1" s="12"/>
      <c r="F1" s="12"/>
      <c r="G1" s="12"/>
    </row>
    <row r="3" spans="2:12" ht="15" x14ac:dyDescent="0.25">
      <c r="B3" s="49" t="s">
        <v>96</v>
      </c>
      <c r="C3" s="49"/>
      <c r="D3" s="49"/>
      <c r="E3" s="49"/>
      <c r="F3" s="49"/>
      <c r="G3" s="49"/>
    </row>
    <row r="4" spans="2:12" ht="14.25" customHeight="1" x14ac:dyDescent="0.25">
      <c r="B4" s="50" t="s">
        <v>97</v>
      </c>
      <c r="C4" s="51" t="s">
        <v>98</v>
      </c>
      <c r="D4" s="52" t="s">
        <v>99</v>
      </c>
      <c r="E4" s="34" t="s">
        <v>100</v>
      </c>
      <c r="F4" s="53" t="s">
        <v>101</v>
      </c>
      <c r="G4" s="53"/>
    </row>
    <row r="5" spans="2:12" ht="15" x14ac:dyDescent="0.25">
      <c r="B5" s="50"/>
      <c r="C5" s="51"/>
      <c r="D5" s="52"/>
      <c r="E5" s="35" t="s">
        <v>102</v>
      </c>
      <c r="F5" s="35" t="s">
        <v>103</v>
      </c>
      <c r="G5" s="35" t="s">
        <v>104</v>
      </c>
    </row>
    <row r="6" spans="2:12" ht="15.75" x14ac:dyDescent="0.25">
      <c r="B6" s="34">
        <v>9</v>
      </c>
      <c r="C6" s="54" t="s">
        <v>105</v>
      </c>
      <c r="D6" s="36" t="s">
        <v>73</v>
      </c>
      <c r="E6" s="28" t="s">
        <v>74</v>
      </c>
      <c r="F6" s="29" t="s">
        <v>75</v>
      </c>
      <c r="G6" s="29" t="s">
        <v>75</v>
      </c>
    </row>
    <row r="7" spans="2:12" ht="15.75" x14ac:dyDescent="0.25">
      <c r="B7" s="34">
        <v>10</v>
      </c>
      <c r="C7" s="54"/>
      <c r="D7" s="36" t="s">
        <v>106</v>
      </c>
      <c r="E7" s="28" t="s">
        <v>78</v>
      </c>
      <c r="F7" s="29" t="s">
        <v>75</v>
      </c>
      <c r="G7" s="29" t="s">
        <v>75</v>
      </c>
    </row>
    <row r="8" spans="2:12" ht="31.5" x14ac:dyDescent="0.25">
      <c r="B8" s="34">
        <v>11</v>
      </c>
      <c r="C8" s="54"/>
      <c r="D8" s="36" t="s">
        <v>107</v>
      </c>
      <c r="E8" s="28" t="s">
        <v>80</v>
      </c>
      <c r="F8" s="29" t="s">
        <v>81</v>
      </c>
      <c r="G8" s="29" t="s">
        <v>81</v>
      </c>
    </row>
    <row r="9" spans="2:12" ht="15.75" x14ac:dyDescent="0.25">
      <c r="B9" s="34">
        <v>12</v>
      </c>
      <c r="C9" s="54"/>
      <c r="D9" s="36" t="s">
        <v>108</v>
      </c>
      <c r="E9" s="28" t="s">
        <v>83</v>
      </c>
      <c r="F9" s="29" t="s">
        <v>84</v>
      </c>
      <c r="G9" s="29" t="s">
        <v>84</v>
      </c>
    </row>
    <row r="10" spans="2:12" ht="15.75" x14ac:dyDescent="0.25">
      <c r="B10" s="35">
        <v>13</v>
      </c>
      <c r="C10" s="54"/>
      <c r="D10" s="36" t="s">
        <v>109</v>
      </c>
      <c r="E10" s="28" t="s">
        <v>86</v>
      </c>
      <c r="F10" s="29" t="s">
        <v>87</v>
      </c>
      <c r="G10" s="29" t="s">
        <v>87</v>
      </c>
    </row>
    <row r="11" spans="2:12" ht="15.75" x14ac:dyDescent="0.25">
      <c r="B11" s="35">
        <v>14</v>
      </c>
      <c r="C11" s="54"/>
      <c r="D11" s="36" t="s">
        <v>110</v>
      </c>
      <c r="E11" s="28" t="s">
        <v>89</v>
      </c>
      <c r="F11" s="29" t="s">
        <v>90</v>
      </c>
      <c r="G11" s="29" t="s">
        <v>90</v>
      </c>
    </row>
    <row r="12" spans="2:12" ht="15.75" x14ac:dyDescent="0.25">
      <c r="B12" s="35">
        <v>15</v>
      </c>
      <c r="C12" s="54"/>
      <c r="D12" s="36" t="s">
        <v>111</v>
      </c>
      <c r="E12" s="28" t="s">
        <v>92</v>
      </c>
      <c r="F12" s="29" t="s">
        <v>93</v>
      </c>
      <c r="G12" s="29" t="s">
        <v>93</v>
      </c>
    </row>
    <row r="13" spans="2:12" ht="15.75" x14ac:dyDescent="0.25">
      <c r="B13" s="35">
        <v>16</v>
      </c>
      <c r="C13" s="54"/>
      <c r="D13" s="36" t="s">
        <v>112</v>
      </c>
      <c r="E13" s="28" t="s">
        <v>92</v>
      </c>
      <c r="F13" s="29" t="s">
        <v>93</v>
      </c>
      <c r="G13" s="29" t="s">
        <v>93</v>
      </c>
    </row>
    <row r="14" spans="2:12" ht="15.75" x14ac:dyDescent="0.25">
      <c r="B14" s="35">
        <v>17</v>
      </c>
      <c r="C14" s="54"/>
      <c r="D14" s="36" t="s">
        <v>113</v>
      </c>
      <c r="E14" s="28" t="s">
        <v>94</v>
      </c>
      <c r="F14" s="29" t="s">
        <v>87</v>
      </c>
      <c r="G14" s="29" t="s">
        <v>87</v>
      </c>
    </row>
    <row r="15" spans="2:12" ht="15" x14ac:dyDescent="0.25">
      <c r="B15" s="37"/>
      <c r="C15" s="37"/>
      <c r="D15" s="37"/>
      <c r="E15" s="37"/>
      <c r="F15" s="37"/>
      <c r="G15" s="37"/>
      <c r="H15" s="37"/>
      <c r="I15" s="37"/>
      <c r="J15" s="37"/>
      <c r="K15" s="37"/>
      <c r="L15" s="37"/>
    </row>
    <row r="16" spans="2:12" ht="15" x14ac:dyDescent="0.25">
      <c r="B16" s="37" t="s">
        <v>114</v>
      </c>
      <c r="K16" s="38"/>
    </row>
    <row r="17" spans="2:14" ht="15" x14ac:dyDescent="0.25">
      <c r="B17" s="55" t="s">
        <v>115</v>
      </c>
      <c r="C17" s="55"/>
      <c r="D17" s="55"/>
      <c r="E17" s="55"/>
      <c r="F17" s="56" t="s">
        <v>116</v>
      </c>
      <c r="G17" s="56"/>
      <c r="H17" s="57" t="s">
        <v>117</v>
      </c>
      <c r="I17" s="57"/>
      <c r="J17" s="57"/>
      <c r="K17" s="57"/>
      <c r="L17" s="57"/>
      <c r="M17" s="58" t="s">
        <v>118</v>
      </c>
      <c r="N17" s="58"/>
    </row>
    <row r="18" spans="2:14" ht="14.25" customHeight="1" x14ac:dyDescent="0.25">
      <c r="B18" s="59" t="s">
        <v>119</v>
      </c>
      <c r="C18" s="60" t="s">
        <v>120</v>
      </c>
      <c r="D18" s="60" t="s">
        <v>121</v>
      </c>
      <c r="E18" s="61" t="s">
        <v>122</v>
      </c>
      <c r="F18" s="62" t="s">
        <v>123</v>
      </c>
      <c r="G18" s="63" t="s">
        <v>124</v>
      </c>
      <c r="H18" s="64" t="s">
        <v>125</v>
      </c>
      <c r="I18" s="60" t="s">
        <v>119</v>
      </c>
      <c r="J18" s="60" t="s">
        <v>120</v>
      </c>
      <c r="K18" s="65" t="s">
        <v>126</v>
      </c>
      <c r="L18" s="66" t="s">
        <v>127</v>
      </c>
      <c r="M18" s="67" t="s">
        <v>128</v>
      </c>
      <c r="N18" s="68" t="s">
        <v>129</v>
      </c>
    </row>
    <row r="19" spans="2:14" ht="15" x14ac:dyDescent="0.25">
      <c r="B19" s="59"/>
      <c r="C19" s="60"/>
      <c r="D19" s="60"/>
      <c r="E19" s="61"/>
      <c r="F19" s="62"/>
      <c r="G19" s="63"/>
      <c r="H19" s="64"/>
      <c r="I19" s="60"/>
      <c r="J19" s="60"/>
      <c r="K19" s="65"/>
      <c r="L19" s="66"/>
      <c r="M19" s="67"/>
      <c r="N19" s="68"/>
    </row>
    <row r="20" spans="2:14" ht="15" x14ac:dyDescent="0.25">
      <c r="B20" s="18">
        <f>SUM(C20:D20)</f>
        <v>9</v>
      </c>
      <c r="C20" s="39">
        <v>9</v>
      </c>
      <c r="D20" s="39">
        <v>0</v>
      </c>
      <c r="E20" s="70">
        <v>1</v>
      </c>
      <c r="F20" s="40" t="s">
        <v>130</v>
      </c>
      <c r="G20" s="41" t="s">
        <v>130</v>
      </c>
      <c r="H20" s="42" t="s">
        <v>130</v>
      </c>
      <c r="I20" s="18">
        <f>SUM(J20:K20)</f>
        <v>0</v>
      </c>
      <c r="J20" s="39">
        <v>0</v>
      </c>
      <c r="K20" s="43">
        <v>0</v>
      </c>
      <c r="L20" s="44"/>
      <c r="M20" s="45" t="s">
        <v>130</v>
      </c>
      <c r="N20" s="46">
        <f>C20</f>
        <v>9</v>
      </c>
    </row>
  </sheetData>
  <mergeCells count="24">
    <mergeCell ref="L18:L19"/>
    <mergeCell ref="M18:M19"/>
    <mergeCell ref="N18:N19"/>
    <mergeCell ref="G18:G19"/>
    <mergeCell ref="H18:H19"/>
    <mergeCell ref="I18:I19"/>
    <mergeCell ref="J18:J19"/>
    <mergeCell ref="K18:K19"/>
    <mergeCell ref="B18:B19"/>
    <mergeCell ref="C18:C19"/>
    <mergeCell ref="D18:D19"/>
    <mergeCell ref="E18:E19"/>
    <mergeCell ref="F18:F19"/>
    <mergeCell ref="C6:C14"/>
    <mergeCell ref="B17:E17"/>
    <mergeCell ref="F17:G17"/>
    <mergeCell ref="H17:L17"/>
    <mergeCell ref="M17:N17"/>
    <mergeCell ref="D1:G1"/>
    <mergeCell ref="B3:G3"/>
    <mergeCell ref="B4:B5"/>
    <mergeCell ref="C4:C5"/>
    <mergeCell ref="D4:D5"/>
    <mergeCell ref="F4:G4"/>
  </mergeCells>
  <pageMargins left="0.7" right="0.7" top="0.75" bottom="0.75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ECFCB93-350B-4228-B7F4-DB12383611F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F02.CFG-Paths</vt:lpstr>
      <vt:lpstr>F02.TCs</vt:lpstr>
      <vt:lpstr>WBT-TCs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COSMIN-ANDREI IRIMIA</cp:lastModifiedBy>
  <cp:revision>7</cp:revision>
  <dcterms:created xsi:type="dcterms:W3CDTF">2006-09-16T00:00:00Z</dcterms:created>
  <dcterms:modified xsi:type="dcterms:W3CDTF">2026-04-02T12:28:49Z</dcterms:modified>
  <dc:language>ro-RO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